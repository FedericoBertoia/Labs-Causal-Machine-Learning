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federico_bertoia_ugent_be/Documents/Desktop/PhD Statistical Data Analysis/1. Causal Machine Learning - Stijn Vanstelaandt/Labs/Lab 2025  - Project/"/>
    </mc:Choice>
  </mc:AlternateContent>
  <xr:revisionPtr revIDLastSave="12" documentId="8_{66D62D45-3E18-49B0-8C80-83F027D02C0D}" xr6:coauthVersionLast="47" xr6:coauthVersionMax="47" xr10:uidLastSave="{2CB14D3D-06B4-40B1-9CB7-45B652CCBC5A}"/>
  <bookViews>
    <workbookView xWindow="-120" yWindow="-16320" windowWidth="29040" windowHeight="15720" xr2:uid="{EEAE772B-FA69-4C03-BB38-687947F94F9A}"/>
  </bookViews>
  <sheets>
    <sheet name="Causal Machine Learning 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19" i="1"/>
  <c r="F19" i="1"/>
  <c r="G17" i="1"/>
  <c r="G19" i="1" s="1"/>
  <c r="E19" i="1"/>
  <c r="D19" i="1"/>
  <c r="B19" i="1"/>
  <c r="C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<sst xmlns="http://schemas.openxmlformats.org/spreadsheetml/2006/main" count="25" uniqueCount="25">
  <si>
    <t>Students</t>
  </si>
  <si>
    <t>Question 1</t>
  </si>
  <si>
    <t>Question 2</t>
  </si>
  <si>
    <t>Question 3</t>
  </si>
  <si>
    <t>Question 4</t>
  </si>
  <si>
    <t>Question 5</t>
  </si>
  <si>
    <t>Weighted Score</t>
  </si>
  <si>
    <t>Overall Score (out of 4)</t>
  </si>
  <si>
    <t>Luka DEROLEZ-LAMBERT, Robbe Neirynck, Bjorn Roelstraete (3)</t>
  </si>
  <si>
    <t>Antoon Goderis, Frederick De Baene, Jonas Geysen (3)</t>
  </si>
  <si>
    <t>Florin Moldovan, Thomas De Schryver (2)</t>
  </si>
  <si>
    <t>Feng Liang and Amber Huybrechts (2)</t>
  </si>
  <si>
    <t>Sarah De Souter, Charlotte Koekkoek and Eline Vanderpijpen (3)</t>
  </si>
  <si>
    <t>Xueting Li, Thu Nguyen (2)</t>
  </si>
  <si>
    <t>Martin Makyeme (1)</t>
  </si>
  <si>
    <t>Kylian Schalembier, Garai Medrano (2)</t>
  </si>
  <si>
    <t>Leire Munarriz Bravo, Joren Van de Voorde (2)</t>
  </si>
  <si>
    <t>Jonas Vanhauwe, Dries De Weerdt and Mikel Nachtergaele (3)</t>
  </si>
  <si>
    <t>Carlos Rodriguez Ameal and Michelina Pizzocaro (2)</t>
  </si>
  <si>
    <t>Lennert Henneman, Marie Taillefer (2)</t>
  </si>
  <si>
    <t>Mert Kır, Sajjad Ayashm and Seppe Vanrietvelde (3)</t>
  </si>
  <si>
    <t>Annabel De Clercq Renée Spoelman Julie Van Wynsberge (3)</t>
  </si>
  <si>
    <t>Mark Vergouwen, Milan Vervoort  (2)</t>
  </si>
  <si>
    <t xml:space="preserve"> </t>
  </si>
  <si>
    <t>Kenny Hombroeckx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</si>
</sst>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33" borderId="10" xfId="0" applyFill="1" applyBorder="1"/>
    <xf numFmtId="2" fontId="0" fillId="33" borderId="10" xfId="0" applyNumberFormat="1" applyFill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BCBE-A00D-4358-BD14-72F7ED8700E9}">
  <dimension ref="A1:I23"/>
  <sheetViews>
    <sheetView tabSelected="1" workbookViewId="0">
      <selection activeCell="G2" sqref="G2"/>
    </sheetView>
  </sheetViews>
  <sheetFormatPr defaultRowHeight="14.5" x14ac:dyDescent="0.35"/>
  <cols>
    <col min="1" max="1" width="55.36328125" bestFit="1" customWidth="1"/>
    <col min="2" max="4" width="9.90625" bestFit="1" customWidth="1"/>
    <col min="5" max="6" width="11.81640625" bestFit="1" customWidth="1"/>
    <col min="7" max="7" width="13.90625" style="1" bestFit="1" customWidth="1"/>
    <col min="8" max="8" width="20.1796875" bestFit="1" customWidth="1"/>
    <col min="9" max="9" width="133.179687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5">
      <c r="A2" t="s">
        <v>8</v>
      </c>
      <c r="B2">
        <v>7</v>
      </c>
      <c r="C2">
        <v>8</v>
      </c>
      <c r="D2">
        <v>10</v>
      </c>
      <c r="E2">
        <v>7</v>
      </c>
      <c r="F2">
        <v>8</v>
      </c>
      <c r="G2" s="1">
        <f>G29</f>
        <v>0</v>
      </c>
      <c r="H2" s="4">
        <v>3</v>
      </c>
    </row>
    <row r="3" spans="1:8" x14ac:dyDescent="0.35">
      <c r="A3" t="s">
        <v>9</v>
      </c>
      <c r="B3">
        <v>9</v>
      </c>
      <c r="C3">
        <v>8</v>
      </c>
      <c r="D3">
        <v>8</v>
      </c>
      <c r="E3">
        <v>8</v>
      </c>
      <c r="F3">
        <v>7</v>
      </c>
      <c r="G3" s="1">
        <f t="shared" ref="G2:G17" si="0">0.7*(B3+C3+D3)/3 + 0.3*(E3+F3)/2</f>
        <v>8.0833333333333321</v>
      </c>
      <c r="H3" s="4">
        <v>3</v>
      </c>
    </row>
    <row r="4" spans="1:8" x14ac:dyDescent="0.35">
      <c r="A4" t="s">
        <v>10</v>
      </c>
      <c r="B4">
        <v>9</v>
      </c>
      <c r="C4">
        <v>9</v>
      </c>
      <c r="D4">
        <v>10</v>
      </c>
      <c r="E4">
        <v>10</v>
      </c>
      <c r="F4">
        <v>7</v>
      </c>
      <c r="G4" s="1">
        <f t="shared" si="0"/>
        <v>9.0833333333333321</v>
      </c>
      <c r="H4" s="4">
        <v>4</v>
      </c>
    </row>
    <row r="5" spans="1:8" x14ac:dyDescent="0.35">
      <c r="A5" t="s">
        <v>11</v>
      </c>
      <c r="B5">
        <v>10</v>
      </c>
      <c r="C5">
        <v>10</v>
      </c>
      <c r="D5">
        <v>10</v>
      </c>
      <c r="E5">
        <v>10</v>
      </c>
      <c r="F5">
        <v>10</v>
      </c>
      <c r="G5" s="1">
        <f t="shared" si="0"/>
        <v>10</v>
      </c>
      <c r="H5" s="4">
        <v>4</v>
      </c>
    </row>
    <row r="6" spans="1:8" x14ac:dyDescent="0.35">
      <c r="A6" t="s">
        <v>12</v>
      </c>
      <c r="B6">
        <v>10</v>
      </c>
      <c r="C6">
        <v>9</v>
      </c>
      <c r="D6">
        <v>8</v>
      </c>
      <c r="E6">
        <v>10</v>
      </c>
      <c r="F6">
        <v>10</v>
      </c>
      <c r="G6" s="1">
        <f t="shared" si="0"/>
        <v>9.3000000000000007</v>
      </c>
      <c r="H6" s="4">
        <v>4</v>
      </c>
    </row>
    <row r="7" spans="1:8" x14ac:dyDescent="0.35">
      <c r="A7" t="s">
        <v>13</v>
      </c>
      <c r="B7">
        <v>9</v>
      </c>
      <c r="C7">
        <v>8</v>
      </c>
      <c r="D7">
        <v>10</v>
      </c>
      <c r="E7">
        <v>10</v>
      </c>
      <c r="F7">
        <v>8</v>
      </c>
      <c r="G7" s="1">
        <f t="shared" si="0"/>
        <v>9</v>
      </c>
      <c r="H7" s="4">
        <v>4</v>
      </c>
    </row>
    <row r="8" spans="1:8" x14ac:dyDescent="0.35">
      <c r="A8" t="s">
        <v>14</v>
      </c>
      <c r="B8">
        <v>7</v>
      </c>
      <c r="C8">
        <v>6</v>
      </c>
      <c r="D8">
        <v>10</v>
      </c>
      <c r="E8">
        <v>8</v>
      </c>
      <c r="F8">
        <v>4</v>
      </c>
      <c r="G8" s="1">
        <f t="shared" si="0"/>
        <v>7.1666666666666661</v>
      </c>
      <c r="H8" s="4">
        <v>2</v>
      </c>
    </row>
    <row r="9" spans="1:8" x14ac:dyDescent="0.35">
      <c r="A9" t="s">
        <v>15</v>
      </c>
      <c r="B9">
        <v>9</v>
      </c>
      <c r="C9">
        <v>8</v>
      </c>
      <c r="D9">
        <v>10</v>
      </c>
      <c r="E9">
        <v>7</v>
      </c>
      <c r="F9">
        <v>5</v>
      </c>
      <c r="G9" s="1">
        <f t="shared" si="0"/>
        <v>8.1</v>
      </c>
      <c r="H9" s="4">
        <v>3</v>
      </c>
    </row>
    <row r="10" spans="1:8" x14ac:dyDescent="0.35">
      <c r="A10" t="s">
        <v>16</v>
      </c>
      <c r="B10">
        <v>9</v>
      </c>
      <c r="C10">
        <v>8</v>
      </c>
      <c r="D10">
        <v>8</v>
      </c>
      <c r="E10">
        <v>8</v>
      </c>
      <c r="F10">
        <v>7</v>
      </c>
      <c r="G10" s="1">
        <f t="shared" si="0"/>
        <v>8.0833333333333321</v>
      </c>
      <c r="H10" s="4">
        <v>3</v>
      </c>
    </row>
    <row r="11" spans="1:8" x14ac:dyDescent="0.35">
      <c r="A11" t="s">
        <v>17</v>
      </c>
      <c r="B11">
        <v>9</v>
      </c>
      <c r="C11">
        <v>9</v>
      </c>
      <c r="D11">
        <v>8</v>
      </c>
      <c r="E11">
        <v>7</v>
      </c>
      <c r="F11">
        <v>6</v>
      </c>
      <c r="G11" s="1">
        <f t="shared" si="0"/>
        <v>8.0166666666666657</v>
      </c>
      <c r="H11" s="4">
        <v>3</v>
      </c>
    </row>
    <row r="12" spans="1:8" x14ac:dyDescent="0.35">
      <c r="A12" t="s">
        <v>18</v>
      </c>
      <c r="B12">
        <v>10</v>
      </c>
      <c r="C12">
        <v>8</v>
      </c>
      <c r="D12">
        <v>8</v>
      </c>
      <c r="E12">
        <v>10</v>
      </c>
      <c r="F12">
        <v>10</v>
      </c>
      <c r="G12" s="1">
        <f t="shared" si="0"/>
        <v>9.0666666666666664</v>
      </c>
      <c r="H12" s="4">
        <v>4</v>
      </c>
    </row>
    <row r="13" spans="1:8" x14ac:dyDescent="0.35">
      <c r="A13" t="s">
        <v>19</v>
      </c>
      <c r="B13">
        <v>9</v>
      </c>
      <c r="C13">
        <v>9</v>
      </c>
      <c r="D13">
        <v>8</v>
      </c>
      <c r="E13">
        <v>10</v>
      </c>
      <c r="F13">
        <v>10</v>
      </c>
      <c r="G13" s="1">
        <f t="shared" si="0"/>
        <v>9.0666666666666664</v>
      </c>
      <c r="H13" s="4">
        <v>4</v>
      </c>
    </row>
    <row r="14" spans="1:8" x14ac:dyDescent="0.35">
      <c r="A14" t="s">
        <v>20</v>
      </c>
      <c r="B14">
        <v>9</v>
      </c>
      <c r="C14">
        <v>8</v>
      </c>
      <c r="D14">
        <v>8</v>
      </c>
      <c r="E14">
        <v>9</v>
      </c>
      <c r="F14">
        <v>7</v>
      </c>
      <c r="G14" s="1">
        <f t="shared" si="0"/>
        <v>8.2333333333333325</v>
      </c>
      <c r="H14" s="4">
        <v>3</v>
      </c>
    </row>
    <row r="15" spans="1:8" x14ac:dyDescent="0.35">
      <c r="A15" t="s">
        <v>21</v>
      </c>
      <c r="B15">
        <v>10</v>
      </c>
      <c r="C15">
        <v>8</v>
      </c>
      <c r="D15">
        <v>8</v>
      </c>
      <c r="E15">
        <v>7</v>
      </c>
      <c r="F15">
        <v>10</v>
      </c>
      <c r="G15" s="1">
        <f t="shared" si="0"/>
        <v>8.6166666666666671</v>
      </c>
      <c r="H15" s="4">
        <v>3</v>
      </c>
    </row>
    <row r="16" spans="1:8" x14ac:dyDescent="0.35">
      <c r="A16" t="s">
        <v>22</v>
      </c>
      <c r="B16">
        <v>10</v>
      </c>
      <c r="C16">
        <v>9</v>
      </c>
      <c r="D16">
        <v>10</v>
      </c>
      <c r="E16">
        <v>10</v>
      </c>
      <c r="F16">
        <v>8</v>
      </c>
      <c r="G16" s="1">
        <f t="shared" si="0"/>
        <v>9.466666666666665</v>
      </c>
      <c r="H16" s="4">
        <v>4</v>
      </c>
    </row>
    <row r="17" spans="1:9" x14ac:dyDescent="0.35">
      <c r="A17" t="s">
        <v>24</v>
      </c>
      <c r="B17">
        <v>7</v>
      </c>
      <c r="C17">
        <v>9</v>
      </c>
      <c r="D17">
        <v>10</v>
      </c>
      <c r="E17">
        <v>9</v>
      </c>
      <c r="F17">
        <v>8</v>
      </c>
      <c r="G17" s="1">
        <f t="shared" si="0"/>
        <v>8.6166666666666671</v>
      </c>
      <c r="H17" s="4">
        <v>3</v>
      </c>
    </row>
    <row r="19" spans="1:9" s="1" customFormat="1" x14ac:dyDescent="0.35">
      <c r="B19" s="1">
        <f t="shared" ref="B19:H19" si="1">AVERAGE(B2:B17)</f>
        <v>8.9375</v>
      </c>
      <c r="C19" s="1">
        <f t="shared" si="1"/>
        <v>8.375</v>
      </c>
      <c r="D19" s="1">
        <f t="shared" si="1"/>
        <v>9</v>
      </c>
      <c r="E19" s="1">
        <f t="shared" si="1"/>
        <v>8.75</v>
      </c>
      <c r="F19" s="1">
        <f t="shared" si="1"/>
        <v>7.8125</v>
      </c>
      <c r="G19" s="1">
        <f t="shared" si="1"/>
        <v>8.1187500000000004</v>
      </c>
      <c r="H19" s="1">
        <f t="shared" si="1"/>
        <v>3.375</v>
      </c>
    </row>
    <row r="23" spans="1:9" x14ac:dyDescent="0.35">
      <c r="I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Causal Machine Learning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Bertoia</dc:creator>
  <cp:lastModifiedBy>Federico Bertoia</cp:lastModifiedBy>
  <dcterms:created xsi:type="dcterms:W3CDTF">2025-06-03T14:22:56Z</dcterms:created>
  <dcterms:modified xsi:type="dcterms:W3CDTF">2025-06-23T08:27:54Z</dcterms:modified>
</cp:coreProperties>
</file>